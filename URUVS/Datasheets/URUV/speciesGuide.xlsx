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"/>
    </mc:Choice>
  </mc:AlternateContent>
  <xr:revisionPtr revIDLastSave="0" documentId="13_ncr:1_{6CFF9DE3-5675-4F99-B52C-1D70431D52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eciesGuide" sheetId="1" r:id="rId1"/>
    <sheet name="GenusTroph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I41" i="1"/>
  <c r="H41" i="1"/>
  <c r="J38" i="1"/>
  <c r="H38" i="1"/>
  <c r="I38" i="1"/>
  <c r="J36" i="1"/>
  <c r="I36" i="1"/>
  <c r="H36" i="1"/>
  <c r="J34" i="1"/>
  <c r="I34" i="1"/>
  <c r="H34" i="1"/>
  <c r="J33" i="1"/>
  <c r="I33" i="1"/>
  <c r="H33" i="1"/>
  <c r="J28" i="1"/>
  <c r="I28" i="1"/>
  <c r="H28" i="1"/>
  <c r="J25" i="1"/>
  <c r="I25" i="1"/>
  <c r="H25" i="1"/>
  <c r="J23" i="1"/>
  <c r="I23" i="1"/>
  <c r="H23" i="1"/>
  <c r="J22" i="1"/>
  <c r="I22" i="1"/>
  <c r="H22" i="1"/>
  <c r="J13" i="1"/>
  <c r="J11" i="1"/>
  <c r="J6" i="1"/>
  <c r="J3" i="1"/>
  <c r="I13" i="1"/>
  <c r="H13" i="1"/>
  <c r="I11" i="1"/>
  <c r="H11" i="1"/>
  <c r="I6" i="1"/>
  <c r="H6" i="1"/>
  <c r="I3" i="1"/>
  <c r="H3" i="1"/>
</calcChain>
</file>

<file path=xl/sharedStrings.xml><?xml version="1.0" encoding="utf-8"?>
<sst xmlns="http://schemas.openxmlformats.org/spreadsheetml/2006/main" count="257" uniqueCount="165">
  <si>
    <t>dataCode</t>
  </si>
  <si>
    <t>colName</t>
  </si>
  <si>
    <t>NameChanged</t>
  </si>
  <si>
    <t>SpeciesName</t>
  </si>
  <si>
    <t>LevelID</t>
  </si>
  <si>
    <t>CommonName_ENG</t>
  </si>
  <si>
    <t>CommonName_IND</t>
  </si>
  <si>
    <t>FishBase_TrophicScore</t>
  </si>
  <si>
    <t>FBTS_SE</t>
  </si>
  <si>
    <t>UNIDGUPPY</t>
  </si>
  <si>
    <t>MAXN_UNIDGUPPY</t>
  </si>
  <si>
    <t>Unidentified Fish</t>
  </si>
  <si>
    <t>GUPPYBOTH</t>
  </si>
  <si>
    <t>MAXN_GUPPYBOTH</t>
  </si>
  <si>
    <t>Parioglossus</t>
  </si>
  <si>
    <t>Genus</t>
  </si>
  <si>
    <t>Dartfish</t>
  </si>
  <si>
    <t>GUPPYA</t>
  </si>
  <si>
    <t>MAXN_GUPPYA</t>
  </si>
  <si>
    <t>UNID_JUVENILE</t>
  </si>
  <si>
    <t>Unidentified Juvenile</t>
  </si>
  <si>
    <t>GUPPYB</t>
  </si>
  <si>
    <t>MAXN_GUPPYB</t>
  </si>
  <si>
    <t>SHRIMP</t>
  </si>
  <si>
    <t>Unidentified Shrimp</t>
  </si>
  <si>
    <t>BLOWFISH</t>
  </si>
  <si>
    <t>MAXN_BLOWFISH</t>
  </si>
  <si>
    <t>Aronthron</t>
  </si>
  <si>
    <t>Puffer Fish</t>
  </si>
  <si>
    <t>Ikan Buntal</t>
  </si>
  <si>
    <t>FISHD</t>
  </si>
  <si>
    <t>MAXN_FISHD</t>
  </si>
  <si>
    <t>Toxotes jaculatrix</t>
  </si>
  <si>
    <t>Species</t>
  </si>
  <si>
    <t>Banded Archerfish</t>
  </si>
  <si>
    <t>Ikan Sumpit</t>
  </si>
  <si>
    <t>FISHE</t>
  </si>
  <si>
    <t>MAXN_FISHE</t>
  </si>
  <si>
    <t>Lutjanus ehrenbergii</t>
  </si>
  <si>
    <t>Blackspot Snapper</t>
  </si>
  <si>
    <t>Kakap Garis</t>
  </si>
  <si>
    <t>FISHF</t>
  </si>
  <si>
    <t>MAXN_FISHF</t>
  </si>
  <si>
    <t>Fibramia lateralis</t>
  </si>
  <si>
    <t>Humpback Cardinal</t>
  </si>
  <si>
    <t>FISHG</t>
  </si>
  <si>
    <t>MAXN_FISHG</t>
  </si>
  <si>
    <t>FISHM</t>
  </si>
  <si>
    <t xml:space="preserve">Lutjanus argentimaculatus </t>
  </si>
  <si>
    <t>Mangrove Red Snapper</t>
  </si>
  <si>
    <t>Ikan Lencam</t>
  </si>
  <si>
    <t>FISHH</t>
  </si>
  <si>
    <t>MAXN_FISHH</t>
  </si>
  <si>
    <t>Mugilidae</t>
  </si>
  <si>
    <t>Family</t>
  </si>
  <si>
    <t>Mullet</t>
  </si>
  <si>
    <t>Ikan Belanak</t>
  </si>
  <si>
    <t>FISHJ</t>
  </si>
  <si>
    <t>MAXN_FISHJ</t>
  </si>
  <si>
    <t>Scatophagus argus</t>
  </si>
  <si>
    <t>Spotted Scat</t>
  </si>
  <si>
    <t>Ikan Kiper</t>
  </si>
  <si>
    <t>PIPEFISH</t>
  </si>
  <si>
    <t>MAXN_PIPEFISH</t>
  </si>
  <si>
    <t>Hyporhampus</t>
  </si>
  <si>
    <t>Halfbeak</t>
  </si>
  <si>
    <t>Ikan julung-julung</t>
  </si>
  <si>
    <t>MUDCRAB</t>
  </si>
  <si>
    <t>MAXN_MUDCRAB</t>
  </si>
  <si>
    <t>SWIMMERCRAB</t>
  </si>
  <si>
    <t>MAXN_SWIMMERCRAB</t>
  </si>
  <si>
    <t>Portunidae</t>
  </si>
  <si>
    <t>Swimmer Crab</t>
  </si>
  <si>
    <t>NA</t>
  </si>
  <si>
    <t>ULAR</t>
  </si>
  <si>
    <t>MAXN_ULAR</t>
  </si>
  <si>
    <t>Acrochordus granulatus</t>
  </si>
  <si>
    <t>Marine File Snake</t>
  </si>
  <si>
    <t>GUPPYC</t>
  </si>
  <si>
    <t>MAXN_GUPPYC</t>
  </si>
  <si>
    <t>FISHK</t>
  </si>
  <si>
    <t>MAXN_FISHK</t>
  </si>
  <si>
    <t>Gerres oyena</t>
  </si>
  <si>
    <t>Blacktip Silverbiddy</t>
  </si>
  <si>
    <t>Ikan Kapas-kapas</t>
  </si>
  <si>
    <t>FISHL</t>
  </si>
  <si>
    <t>MAXN_FISHL</t>
  </si>
  <si>
    <t>MAXN_FISHM</t>
  </si>
  <si>
    <t>FISHN</t>
  </si>
  <si>
    <t>MAXN_FISHN</t>
  </si>
  <si>
    <t>Sphaeramia orbicularis</t>
  </si>
  <si>
    <t>Orbicular Cardinalfish</t>
  </si>
  <si>
    <t>FISHO</t>
  </si>
  <si>
    <t>MAXN_FISHO</t>
  </si>
  <si>
    <t>Siganus</t>
  </si>
  <si>
    <t>Gold Spotted Rabbitfish</t>
  </si>
  <si>
    <t>Ikan Baronang</t>
  </si>
  <si>
    <t>CHEETAGIRLZ</t>
  </si>
  <si>
    <t>MAXN_CHEETAGIRLZ</t>
  </si>
  <si>
    <t>KERONGKERONG</t>
  </si>
  <si>
    <t>MAXN_KERONGKERONG</t>
  </si>
  <si>
    <t xml:space="preserve">Terapon jarbua </t>
  </si>
  <si>
    <t>Crescent Grunter</t>
  </si>
  <si>
    <t>Kerong Kerong</t>
  </si>
  <si>
    <t>YL</t>
  </si>
  <si>
    <t>MAXN_YL</t>
  </si>
  <si>
    <t>Chaetodon</t>
  </si>
  <si>
    <t>Butterfly Fish</t>
  </si>
  <si>
    <t>Ikan Kepe-kepe</t>
  </si>
  <si>
    <t>BFLY1</t>
  </si>
  <si>
    <t>MAXN_BFLY1</t>
  </si>
  <si>
    <t>Moonyfishes or fingerfishes</t>
  </si>
  <si>
    <t>Ikan Bebulan</t>
  </si>
  <si>
    <t>VERTFISH</t>
  </si>
  <si>
    <t>MAXN_VERTFISH</t>
  </si>
  <si>
    <t>BIGBOI</t>
  </si>
  <si>
    <t>Sphyraena barracuda</t>
  </si>
  <si>
    <t>Great Barracuda</t>
  </si>
  <si>
    <t>Barakuda</t>
  </si>
  <si>
    <t>SANDFISH</t>
  </si>
  <si>
    <t>MAXN_SANDFISH</t>
  </si>
  <si>
    <t>Omobranchus</t>
  </si>
  <si>
    <t>Blenny</t>
  </si>
  <si>
    <t>Jabingan</t>
  </si>
  <si>
    <t>MAXN_SHRIMP</t>
  </si>
  <si>
    <t>YELLOWGUPPY</t>
  </si>
  <si>
    <t>MAXN_YELLOWGUPPY</t>
  </si>
  <si>
    <t>FISHA</t>
  </si>
  <si>
    <t>Ostorhinchus ocellicaudus OR ostorhinchus franssedai</t>
  </si>
  <si>
    <t>Tailete or Frans' cardinalfish</t>
  </si>
  <si>
    <t>YELLOWSTRIPE</t>
  </si>
  <si>
    <t>MAXN_YELLOWSTRIPE</t>
  </si>
  <si>
    <t>Monodactylus argenteus</t>
  </si>
  <si>
    <t>Diamondfish</t>
  </si>
  <si>
    <t>GARONGGONG</t>
  </si>
  <si>
    <t>MAXN_GARONGGONG</t>
  </si>
  <si>
    <t>Epinephelus coioides</t>
  </si>
  <si>
    <t>Orangespotted Grouper</t>
  </si>
  <si>
    <t>kerapu lumpur</t>
  </si>
  <si>
    <t>FISHP</t>
  </si>
  <si>
    <t>MAXN_FISHP</t>
  </si>
  <si>
    <t>FISHQ</t>
  </si>
  <si>
    <t>Ikan Kuwe</t>
  </si>
  <si>
    <t>LILFREAK</t>
  </si>
  <si>
    <t>MAXN_LILFREAK</t>
  </si>
  <si>
    <t>MAXN_FISHA</t>
  </si>
  <si>
    <t>Ostorhinchus ocellicaudus</t>
  </si>
  <si>
    <t>Tailspot cardinalfish</t>
  </si>
  <si>
    <t>MAXN_FISHQ</t>
  </si>
  <si>
    <t>FISHR</t>
  </si>
  <si>
    <t>MAXN_FISHR</t>
  </si>
  <si>
    <t>FISHS</t>
  </si>
  <si>
    <t>MAXN_FISHS</t>
  </si>
  <si>
    <t>EYELINER</t>
  </si>
  <si>
    <t>MAXN_EYELINER</t>
  </si>
  <si>
    <t>MAXN_BIGBOI</t>
  </si>
  <si>
    <t>FISHBT</t>
  </si>
  <si>
    <t>MAXN_FISHBT</t>
  </si>
  <si>
    <t>FISHWTH</t>
  </si>
  <si>
    <t>MAXN_FISHWTH</t>
  </si>
  <si>
    <t>Pervagor nigrolineatus</t>
  </si>
  <si>
    <t>Blacklined Filefish</t>
  </si>
  <si>
    <t>Caranx</t>
  </si>
  <si>
    <t>Trevally</t>
  </si>
  <si>
    <t>No_InGenus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</si>
</sst>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B1" workbookViewId="0">
      <selection activeCell="L34" sqref="L34"/>
    </sheetView>
  </sheetViews>
  <sheetFormatPr defaultRowHeight="14.5" x14ac:dyDescent="0.35"/>
  <cols>
    <col min="2" max="2" width="21.26953125" bestFit="1" customWidth="1"/>
    <col min="4" max="4" width="46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</v>
      </c>
    </row>
    <row r="2" spans="1:10" x14ac:dyDescent="0.35">
      <c r="A2" t="s">
        <v>9</v>
      </c>
      <c r="B2" t="s">
        <v>10</v>
      </c>
      <c r="D2" t="s">
        <v>11</v>
      </c>
    </row>
    <row r="3" spans="1:10" x14ac:dyDescent="0.35">
      <c r="A3" t="s">
        <v>12</v>
      </c>
      <c r="B3" t="s">
        <v>13</v>
      </c>
      <c r="D3" t="s">
        <v>14</v>
      </c>
      <c r="E3" t="s">
        <v>15</v>
      </c>
      <c r="F3" t="s">
        <v>16</v>
      </c>
      <c r="H3">
        <f>AVERAGE(GenusTrophics!A2:A9)</f>
        <v>3.1374999999999997</v>
      </c>
      <c r="I3">
        <f>_xlfn.STDEV.P(GenusTrophics!A2:A9)</f>
        <v>6.9597054535375333E-2</v>
      </c>
      <c r="J3">
        <f>COUNT(GenusTrophics!A2:A9)</f>
        <v>8</v>
      </c>
    </row>
    <row r="4" spans="1:10" x14ac:dyDescent="0.35">
      <c r="A4" t="s">
        <v>17</v>
      </c>
      <c r="B4" t="s">
        <v>18</v>
      </c>
      <c r="C4" t="s">
        <v>19</v>
      </c>
      <c r="D4" t="s">
        <v>20</v>
      </c>
    </row>
    <row r="5" spans="1:10" x14ac:dyDescent="0.35">
      <c r="A5" t="s">
        <v>21</v>
      </c>
      <c r="B5" t="s">
        <v>22</v>
      </c>
      <c r="C5" t="s">
        <v>23</v>
      </c>
      <c r="D5" t="s">
        <v>24</v>
      </c>
    </row>
    <row r="6" spans="1:10" x14ac:dyDescent="0.35">
      <c r="A6" t="s">
        <v>25</v>
      </c>
      <c r="B6" t="s">
        <v>26</v>
      </c>
      <c r="D6" t="s">
        <v>27</v>
      </c>
      <c r="E6" t="s">
        <v>15</v>
      </c>
      <c r="F6" t="s">
        <v>28</v>
      </c>
      <c r="G6" t="s">
        <v>29</v>
      </c>
      <c r="H6">
        <f>AVERAGE(GenusTrophics!B2:B10)</f>
        <v>3.411111111111111</v>
      </c>
      <c r="I6">
        <f>_xlfn.STDEV.P(GenusTrophics!B2:B10)</f>
        <v>0.28065179867366868</v>
      </c>
      <c r="J6">
        <f>COUNT(GenusTrophics!B2:B10)</f>
        <v>9</v>
      </c>
    </row>
    <row r="7" spans="1:10" x14ac:dyDescent="0.35">
      <c r="A7" t="s">
        <v>30</v>
      </c>
      <c r="B7" t="s">
        <v>31</v>
      </c>
      <c r="D7" t="s">
        <v>32</v>
      </c>
      <c r="E7" t="s">
        <v>33</v>
      </c>
      <c r="F7" t="s">
        <v>34</v>
      </c>
      <c r="G7" t="s">
        <v>35</v>
      </c>
      <c r="H7">
        <v>2.6</v>
      </c>
      <c r="I7">
        <v>0.27</v>
      </c>
    </row>
    <row r="8" spans="1:10" x14ac:dyDescent="0.35">
      <c r="A8" t="s">
        <v>36</v>
      </c>
      <c r="B8" t="s">
        <v>37</v>
      </c>
      <c r="D8" t="s">
        <v>38</v>
      </c>
      <c r="E8" t="s">
        <v>33</v>
      </c>
      <c r="F8" t="s">
        <v>39</v>
      </c>
      <c r="G8" t="s">
        <v>40</v>
      </c>
      <c r="H8">
        <v>3.6</v>
      </c>
      <c r="I8">
        <v>0.53</v>
      </c>
    </row>
    <row r="9" spans="1:10" x14ac:dyDescent="0.35">
      <c r="A9" t="s">
        <v>41</v>
      </c>
      <c r="B9" t="s">
        <v>42</v>
      </c>
      <c r="D9" t="s">
        <v>43</v>
      </c>
      <c r="E9" t="s">
        <v>33</v>
      </c>
      <c r="F9" t="s">
        <v>44</v>
      </c>
      <c r="H9">
        <v>4</v>
      </c>
      <c r="I9">
        <v>0.6</v>
      </c>
    </row>
    <row r="10" spans="1:10" x14ac:dyDescent="0.35">
      <c r="A10" t="s">
        <v>45</v>
      </c>
      <c r="B10" t="s">
        <v>46</v>
      </c>
      <c r="C10" t="s">
        <v>47</v>
      </c>
      <c r="D10" t="s">
        <v>48</v>
      </c>
      <c r="E10" t="s">
        <v>33</v>
      </c>
      <c r="F10" t="s">
        <v>49</v>
      </c>
      <c r="G10" t="s">
        <v>50</v>
      </c>
      <c r="H10">
        <v>3.6</v>
      </c>
      <c r="I10">
        <v>0.5</v>
      </c>
    </row>
    <row r="11" spans="1:10" x14ac:dyDescent="0.35">
      <c r="A11" t="s">
        <v>51</v>
      </c>
      <c r="B11" t="s">
        <v>52</v>
      </c>
      <c r="D11" t="s">
        <v>53</v>
      </c>
      <c r="E11" t="s">
        <v>54</v>
      </c>
      <c r="F11" t="s">
        <v>55</v>
      </c>
      <c r="G11" t="s">
        <v>56</v>
      </c>
      <c r="H11">
        <f>AVERAGE(GenusTrophics!C2:C21)</f>
        <v>2.3999999999999995</v>
      </c>
      <c r="I11">
        <f>_xlfn.STDEV.P(GenusTrophics!C2:C21)</f>
        <v>0.20976176963403032</v>
      </c>
      <c r="J11">
        <f>COUNT(GenusTrophics!C2:C21)</f>
        <v>20</v>
      </c>
    </row>
    <row r="12" spans="1:10" x14ac:dyDescent="0.35">
      <c r="A12" t="s">
        <v>57</v>
      </c>
      <c r="B12" t="s">
        <v>58</v>
      </c>
      <c r="D12" t="s">
        <v>59</v>
      </c>
      <c r="E12" t="s">
        <v>33</v>
      </c>
      <c r="F12" t="s">
        <v>60</v>
      </c>
      <c r="G12" t="s">
        <v>61</v>
      </c>
      <c r="H12">
        <v>3</v>
      </c>
      <c r="I12">
        <v>0.35</v>
      </c>
    </row>
    <row r="13" spans="1:10" x14ac:dyDescent="0.35">
      <c r="A13" t="s">
        <v>62</v>
      </c>
      <c r="B13" t="s">
        <v>63</v>
      </c>
      <c r="D13" t="s">
        <v>64</v>
      </c>
      <c r="E13" t="s">
        <v>15</v>
      </c>
      <c r="F13" t="s">
        <v>65</v>
      </c>
      <c r="G13" t="s">
        <v>66</v>
      </c>
      <c r="H13">
        <f>AVERAGE(GenusTrophics!D2:D8)</f>
        <v>3.1428571428571428</v>
      </c>
      <c r="I13">
        <f>_xlfn.STDEV.P(GenusTrophics!D2:D8)</f>
        <v>0.2258769757263128</v>
      </c>
      <c r="J13">
        <f>COUNT(GenusTrophics!D2:D8)</f>
        <v>7</v>
      </c>
    </row>
    <row r="14" spans="1:10" x14ac:dyDescent="0.35">
      <c r="A14" t="s">
        <v>67</v>
      </c>
      <c r="B14" t="s">
        <v>68</v>
      </c>
    </row>
    <row r="15" spans="1:10" x14ac:dyDescent="0.35">
      <c r="A15" t="s">
        <v>69</v>
      </c>
      <c r="B15" t="s">
        <v>70</v>
      </c>
      <c r="D15" t="s">
        <v>71</v>
      </c>
      <c r="E15" t="s">
        <v>15</v>
      </c>
      <c r="F15" t="s">
        <v>72</v>
      </c>
      <c r="H15" t="s">
        <v>73</v>
      </c>
      <c r="I15" t="s">
        <v>73</v>
      </c>
      <c r="J15" t="s">
        <v>73</v>
      </c>
    </row>
    <row r="16" spans="1:10" x14ac:dyDescent="0.35">
      <c r="A16" t="s">
        <v>74</v>
      </c>
      <c r="B16" t="s">
        <v>75</v>
      </c>
      <c r="D16" t="s">
        <v>76</v>
      </c>
      <c r="E16" t="s">
        <v>33</v>
      </c>
      <c r="F16" t="s">
        <v>77</v>
      </c>
      <c r="H16" t="s">
        <v>73</v>
      </c>
      <c r="I16" t="s">
        <v>73</v>
      </c>
      <c r="J16" t="s">
        <v>73</v>
      </c>
    </row>
    <row r="17" spans="1:10" x14ac:dyDescent="0.35">
      <c r="A17" t="s">
        <v>78</v>
      </c>
      <c r="B17" t="s">
        <v>79</v>
      </c>
      <c r="C17" t="s">
        <v>41</v>
      </c>
      <c r="D17" t="s">
        <v>43</v>
      </c>
      <c r="E17" t="s">
        <v>33</v>
      </c>
      <c r="F17" t="s">
        <v>44</v>
      </c>
      <c r="H17">
        <v>4</v>
      </c>
      <c r="I17">
        <v>0.6</v>
      </c>
    </row>
    <row r="18" spans="1:10" x14ac:dyDescent="0.35">
      <c r="A18" t="s">
        <v>80</v>
      </c>
      <c r="B18" t="s">
        <v>81</v>
      </c>
      <c r="D18" t="s">
        <v>82</v>
      </c>
      <c r="E18" t="s">
        <v>33</v>
      </c>
      <c r="F18" t="s">
        <v>83</v>
      </c>
      <c r="G18" t="s">
        <v>84</v>
      </c>
      <c r="H18">
        <v>2.7</v>
      </c>
      <c r="I18">
        <v>0.24</v>
      </c>
    </row>
    <row r="19" spans="1:10" x14ac:dyDescent="0.35">
      <c r="A19" t="s">
        <v>85</v>
      </c>
      <c r="B19" t="s">
        <v>86</v>
      </c>
      <c r="C19" t="s">
        <v>80</v>
      </c>
      <c r="D19" t="s">
        <v>82</v>
      </c>
      <c r="E19" t="s">
        <v>33</v>
      </c>
      <c r="F19" t="s">
        <v>83</v>
      </c>
      <c r="G19" t="s">
        <v>84</v>
      </c>
      <c r="H19">
        <v>2.7</v>
      </c>
      <c r="I19">
        <v>0.24</v>
      </c>
    </row>
    <row r="20" spans="1:10" x14ac:dyDescent="0.35">
      <c r="A20" t="s">
        <v>47</v>
      </c>
      <c r="B20" t="s">
        <v>87</v>
      </c>
      <c r="D20" t="s">
        <v>48</v>
      </c>
      <c r="E20" t="s">
        <v>33</v>
      </c>
      <c r="F20" t="s">
        <v>49</v>
      </c>
      <c r="G20" t="s">
        <v>50</v>
      </c>
      <c r="H20">
        <v>3.6</v>
      </c>
      <c r="I20">
        <v>0.5</v>
      </c>
    </row>
    <row r="21" spans="1:10" x14ac:dyDescent="0.35">
      <c r="A21" t="s">
        <v>88</v>
      </c>
      <c r="B21" t="s">
        <v>89</v>
      </c>
      <c r="D21" t="s">
        <v>90</v>
      </c>
      <c r="E21" t="s">
        <v>33</v>
      </c>
      <c r="F21" t="s">
        <v>91</v>
      </c>
      <c r="H21">
        <v>3.6</v>
      </c>
      <c r="I21">
        <v>0.51</v>
      </c>
    </row>
    <row r="22" spans="1:10" x14ac:dyDescent="0.35">
      <c r="A22" t="s">
        <v>92</v>
      </c>
      <c r="B22" t="s">
        <v>93</v>
      </c>
      <c r="D22" t="s">
        <v>94</v>
      </c>
      <c r="E22" t="s">
        <v>15</v>
      </c>
      <c r="F22" t="s">
        <v>95</v>
      </c>
      <c r="G22" t="s">
        <v>96</v>
      </c>
      <c r="H22">
        <f>AVERAGE(GenusTrophics!E2:E19)</f>
        <v>2.3555555555555556</v>
      </c>
      <c r="I22">
        <f>_xlfn.STDEV.P(GenusTrophics!E2:E19)</f>
        <v>0.39891829046702826</v>
      </c>
      <c r="J22">
        <f>COUNT(GenusTrophics!E2:E19)</f>
        <v>18</v>
      </c>
    </row>
    <row r="23" spans="1:10" x14ac:dyDescent="0.35">
      <c r="A23" t="s">
        <v>97</v>
      </c>
      <c r="B23" t="s">
        <v>98</v>
      </c>
      <c r="C23" t="s">
        <v>92</v>
      </c>
      <c r="D23" t="s">
        <v>94</v>
      </c>
      <c r="E23" t="s">
        <v>15</v>
      </c>
      <c r="F23" t="s">
        <v>95</v>
      </c>
      <c r="G23" t="s">
        <v>96</v>
      </c>
      <c r="H23">
        <f>AVERAGE(GenusTrophics!E2:E19)</f>
        <v>2.3555555555555556</v>
      </c>
      <c r="I23">
        <f>_xlfn.STDEV.P(GenusTrophics!E2:E19)</f>
        <v>0.39891829046702826</v>
      </c>
      <c r="J23">
        <f>COUNT(GenusTrophics!E2:E19)</f>
        <v>18</v>
      </c>
    </row>
    <row r="24" spans="1:10" x14ac:dyDescent="0.35">
      <c r="A24" t="s">
        <v>99</v>
      </c>
      <c r="B24" t="s">
        <v>100</v>
      </c>
      <c r="D24" t="s">
        <v>101</v>
      </c>
      <c r="E24" t="s">
        <v>33</v>
      </c>
      <c r="F24" t="s">
        <v>102</v>
      </c>
      <c r="G24" t="s">
        <v>103</v>
      </c>
      <c r="H24">
        <v>3.9</v>
      </c>
      <c r="I24">
        <v>0.5</v>
      </c>
    </row>
    <row r="25" spans="1:10" x14ac:dyDescent="0.35">
      <c r="A25" t="s">
        <v>104</v>
      </c>
      <c r="B25" t="s">
        <v>105</v>
      </c>
      <c r="D25" t="s">
        <v>106</v>
      </c>
      <c r="E25" t="s">
        <v>15</v>
      </c>
      <c r="F25" t="s">
        <v>107</v>
      </c>
      <c r="G25" t="s">
        <v>108</v>
      </c>
      <c r="H25">
        <f>AVERAGE(GenusTrophics!F2:F47)</f>
        <v>3.2217391304347824</v>
      </c>
      <c r="I25">
        <f>_xlfn.STDEV.P(GenusTrophics!F2:F47)</f>
        <v>0.41384361858402846</v>
      </c>
      <c r="J25">
        <f>COUNT(GenusTrophics!F2:F47)</f>
        <v>46</v>
      </c>
    </row>
    <row r="26" spans="1:10" x14ac:dyDescent="0.35">
      <c r="A26" t="s">
        <v>109</v>
      </c>
      <c r="B26" t="s">
        <v>110</v>
      </c>
      <c r="D26" t="s">
        <v>132</v>
      </c>
      <c r="E26" t="s">
        <v>33</v>
      </c>
      <c r="F26" t="s">
        <v>111</v>
      </c>
      <c r="G26" t="s">
        <v>112</v>
      </c>
      <c r="H26">
        <v>3.1</v>
      </c>
      <c r="I26">
        <v>0.26</v>
      </c>
    </row>
    <row r="27" spans="1:10" x14ac:dyDescent="0.35">
      <c r="A27" t="s">
        <v>113</v>
      </c>
      <c r="B27" t="s">
        <v>114</v>
      </c>
      <c r="C27" t="s">
        <v>115</v>
      </c>
      <c r="D27" t="s">
        <v>116</v>
      </c>
      <c r="E27" t="s">
        <v>33</v>
      </c>
      <c r="F27" t="s">
        <v>117</v>
      </c>
      <c r="G27" t="s">
        <v>118</v>
      </c>
      <c r="H27">
        <v>4.5</v>
      </c>
      <c r="I27">
        <v>0.6</v>
      </c>
    </row>
    <row r="28" spans="1:10" x14ac:dyDescent="0.35">
      <c r="A28" t="s">
        <v>119</v>
      </c>
      <c r="B28" t="s">
        <v>120</v>
      </c>
      <c r="D28" t="s">
        <v>121</v>
      </c>
      <c r="E28" t="s">
        <v>15</v>
      </c>
      <c r="F28" t="s">
        <v>122</v>
      </c>
      <c r="G28" t="s">
        <v>123</v>
      </c>
      <c r="H28">
        <f>AVERAGE(GenusTrophics!G2:G8)</f>
        <v>2.7714285714285714</v>
      </c>
      <c r="I28">
        <f>_xlfn.STDEV.P(GenusTrophics!G2:G8)</f>
        <v>0.30572763655761132</v>
      </c>
      <c r="J28">
        <f>COUNT(GenusTrophics!G2:G8)</f>
        <v>7</v>
      </c>
    </row>
    <row r="29" spans="1:10" x14ac:dyDescent="0.35">
      <c r="A29" t="s">
        <v>23</v>
      </c>
      <c r="B29" t="s">
        <v>124</v>
      </c>
      <c r="D29" t="s">
        <v>24</v>
      </c>
    </row>
    <row r="30" spans="1:10" x14ac:dyDescent="0.35">
      <c r="A30" t="s">
        <v>125</v>
      </c>
      <c r="B30" t="s">
        <v>126</v>
      </c>
      <c r="C30" t="s">
        <v>127</v>
      </c>
      <c r="D30" t="s">
        <v>128</v>
      </c>
      <c r="E30" t="s">
        <v>33</v>
      </c>
      <c r="F30" t="s">
        <v>129</v>
      </c>
      <c r="H30">
        <v>3.5</v>
      </c>
      <c r="I30">
        <v>0.4</v>
      </c>
    </row>
    <row r="31" spans="1:10" x14ac:dyDescent="0.35">
      <c r="A31" t="s">
        <v>130</v>
      </c>
      <c r="B31" t="s">
        <v>131</v>
      </c>
      <c r="D31" t="s">
        <v>132</v>
      </c>
      <c r="E31" t="s">
        <v>33</v>
      </c>
      <c r="F31" t="s">
        <v>133</v>
      </c>
      <c r="H31">
        <v>3.1</v>
      </c>
      <c r="I31">
        <v>0.26</v>
      </c>
    </row>
    <row r="32" spans="1:10" x14ac:dyDescent="0.35">
      <c r="A32" t="s">
        <v>134</v>
      </c>
      <c r="B32" t="s">
        <v>135</v>
      </c>
      <c r="D32" t="s">
        <v>136</v>
      </c>
      <c r="E32" t="s">
        <v>33</v>
      </c>
      <c r="F32" t="s">
        <v>137</v>
      </c>
      <c r="G32" t="s">
        <v>138</v>
      </c>
      <c r="H32">
        <v>4</v>
      </c>
      <c r="I32">
        <v>0</v>
      </c>
    </row>
    <row r="33" spans="1:10" x14ac:dyDescent="0.35">
      <c r="A33" t="s">
        <v>139</v>
      </c>
      <c r="B33" t="s">
        <v>140</v>
      </c>
      <c r="C33" t="s">
        <v>141</v>
      </c>
      <c r="D33" t="s">
        <v>162</v>
      </c>
      <c r="E33" t="s">
        <v>15</v>
      </c>
      <c r="F33" t="s">
        <v>163</v>
      </c>
      <c r="G33" t="s">
        <v>142</v>
      </c>
      <c r="H33">
        <f>AVERAGE(GenusTrophics!H2:H9)</f>
        <v>4.2</v>
      </c>
      <c r="I33">
        <f>_xlfn.STDEV.P(GenusTrophics!H2:H9)</f>
        <v>0.25495097567963931</v>
      </c>
      <c r="J33">
        <f>COUNT(GenusTrophics!H2:H9)</f>
        <v>8</v>
      </c>
    </row>
    <row r="34" spans="1:10" x14ac:dyDescent="0.35">
      <c r="A34" t="s">
        <v>143</v>
      </c>
      <c r="B34" t="s">
        <v>144</v>
      </c>
      <c r="C34" t="s">
        <v>119</v>
      </c>
      <c r="D34" t="s">
        <v>121</v>
      </c>
      <c r="E34" t="s">
        <v>15</v>
      </c>
      <c r="F34" t="s">
        <v>122</v>
      </c>
      <c r="G34" t="s">
        <v>123</v>
      </c>
      <c r="H34">
        <f>AVERAGE(GenusTrophics!G2:G8)</f>
        <v>2.7714285714285714</v>
      </c>
      <c r="I34">
        <f>_xlfn.STDEV.P(GenusTrophics!G2:G8)</f>
        <v>0.30572763655761132</v>
      </c>
      <c r="J34">
        <f>COUNT(GenusTrophics!G2:G8)</f>
        <v>7</v>
      </c>
    </row>
    <row r="35" spans="1:10" x14ac:dyDescent="0.35">
      <c r="A35" t="s">
        <v>127</v>
      </c>
      <c r="B35" t="s">
        <v>145</v>
      </c>
      <c r="D35" t="s">
        <v>146</v>
      </c>
      <c r="E35" t="s">
        <v>33</v>
      </c>
      <c r="F35" t="s">
        <v>147</v>
      </c>
      <c r="H35">
        <v>3.4</v>
      </c>
      <c r="I35">
        <v>0.4</v>
      </c>
    </row>
    <row r="36" spans="1:10" x14ac:dyDescent="0.35">
      <c r="A36" t="s">
        <v>141</v>
      </c>
      <c r="B36" t="s">
        <v>148</v>
      </c>
      <c r="D36" t="s">
        <v>162</v>
      </c>
      <c r="E36" t="s">
        <v>15</v>
      </c>
      <c r="F36" t="s">
        <v>163</v>
      </c>
      <c r="G36" t="s">
        <v>142</v>
      </c>
      <c r="H36">
        <f>AVERAGE(GenusTrophics!H2:H9)</f>
        <v>4.2</v>
      </c>
      <c r="I36">
        <f>_xlfn.STDEV.P(GenusTrophics!H2:H9)</f>
        <v>0.25495097567963931</v>
      </c>
      <c r="J36">
        <f>COUNT(GenusTrophics!H2:H9)</f>
        <v>8</v>
      </c>
    </row>
    <row r="37" spans="1:10" x14ac:dyDescent="0.35">
      <c r="A37" t="s">
        <v>149</v>
      </c>
      <c r="B37" t="s">
        <v>150</v>
      </c>
      <c r="C37" t="s">
        <v>41</v>
      </c>
      <c r="D37" t="s">
        <v>43</v>
      </c>
      <c r="E37" t="s">
        <v>33</v>
      </c>
      <c r="F37" t="s">
        <v>44</v>
      </c>
      <c r="H37">
        <v>4</v>
      </c>
      <c r="I37">
        <v>0.6</v>
      </c>
    </row>
    <row r="38" spans="1:10" x14ac:dyDescent="0.35">
      <c r="A38" t="s">
        <v>151</v>
      </c>
      <c r="B38" t="s">
        <v>152</v>
      </c>
      <c r="C38" t="s">
        <v>141</v>
      </c>
      <c r="D38" t="s">
        <v>162</v>
      </c>
      <c r="E38" t="s">
        <v>15</v>
      </c>
      <c r="F38" t="s">
        <v>163</v>
      </c>
      <c r="G38" t="s">
        <v>142</v>
      </c>
      <c r="H38">
        <f>AVERAGE(GenusTrophics!H2:H9)</f>
        <v>4.2</v>
      </c>
      <c r="I38">
        <f>_xlfn.STDEV.P(GenusTrophics!H2:H9)</f>
        <v>0.25495097567963931</v>
      </c>
      <c r="J38">
        <f>COUNT(GenusTrophics!H2:H9)</f>
        <v>8</v>
      </c>
    </row>
    <row r="39" spans="1:10" x14ac:dyDescent="0.35">
      <c r="A39" t="s">
        <v>153</v>
      </c>
      <c r="B39" t="s">
        <v>154</v>
      </c>
      <c r="C39" t="s">
        <v>36</v>
      </c>
      <c r="D39" t="s">
        <v>38</v>
      </c>
      <c r="E39" t="s">
        <v>33</v>
      </c>
      <c r="F39" t="s">
        <v>39</v>
      </c>
      <c r="G39" t="s">
        <v>40</v>
      </c>
      <c r="H39">
        <v>3.6</v>
      </c>
      <c r="I39">
        <v>0.53</v>
      </c>
    </row>
    <row r="40" spans="1:10" x14ac:dyDescent="0.35">
      <c r="A40" t="s">
        <v>115</v>
      </c>
      <c r="B40" t="s">
        <v>155</v>
      </c>
      <c r="D40" t="s">
        <v>116</v>
      </c>
      <c r="E40" t="s">
        <v>33</v>
      </c>
      <c r="F40" t="s">
        <v>117</v>
      </c>
      <c r="G40" t="s">
        <v>118</v>
      </c>
      <c r="H40">
        <v>4.5</v>
      </c>
      <c r="I40">
        <v>0.83</v>
      </c>
    </row>
    <row r="41" spans="1:10" x14ac:dyDescent="0.35">
      <c r="A41" t="s">
        <v>156</v>
      </c>
      <c r="B41" t="s">
        <v>157</v>
      </c>
      <c r="C41" t="s">
        <v>92</v>
      </c>
      <c r="D41" t="s">
        <v>94</v>
      </c>
      <c r="E41" t="s">
        <v>15</v>
      </c>
      <c r="F41" t="s">
        <v>95</v>
      </c>
      <c r="G41" t="s">
        <v>96</v>
      </c>
      <c r="H41">
        <f>AVERAGE(GenusTrophics!E2:E19)</f>
        <v>2.3555555555555556</v>
      </c>
      <c r="I41">
        <f>_xlfn.STDEV.P(GenusTrophics!E2:E19)</f>
        <v>0.39891829046702826</v>
      </c>
      <c r="J41">
        <f>COUNT(GenusTrophics!E2:E9)</f>
        <v>8</v>
      </c>
    </row>
    <row r="42" spans="1:10" x14ac:dyDescent="0.35">
      <c r="A42" t="s">
        <v>158</v>
      </c>
      <c r="B42" t="s">
        <v>159</v>
      </c>
      <c r="D42" t="s">
        <v>160</v>
      </c>
      <c r="E42" t="s">
        <v>33</v>
      </c>
      <c r="F42" t="s">
        <v>161</v>
      </c>
      <c r="H42">
        <v>2</v>
      </c>
      <c r="I42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3CCE-8D89-42C9-AEC3-BDCCA0ABA43E}">
  <dimension ref="A1:H47"/>
  <sheetViews>
    <sheetView workbookViewId="0">
      <selection activeCell="H10" sqref="H10"/>
    </sheetView>
  </sheetViews>
  <sheetFormatPr defaultRowHeight="14.5" x14ac:dyDescent="0.35"/>
  <cols>
    <col min="1" max="1" width="11.08984375" bestFit="1" customWidth="1"/>
    <col min="2" max="2" width="9.54296875" bestFit="1" customWidth="1"/>
    <col min="4" max="4" width="12.6328125" bestFit="1" customWidth="1"/>
  </cols>
  <sheetData>
    <row r="1" spans="1:8" x14ac:dyDescent="0.35">
      <c r="A1" t="s">
        <v>14</v>
      </c>
      <c r="B1" t="s">
        <v>27</v>
      </c>
      <c r="C1" t="s">
        <v>53</v>
      </c>
      <c r="D1" t="s">
        <v>64</v>
      </c>
      <c r="E1" t="s">
        <v>94</v>
      </c>
      <c r="F1" t="s">
        <v>106</v>
      </c>
      <c r="G1" t="s">
        <v>121</v>
      </c>
      <c r="H1" t="s">
        <v>162</v>
      </c>
    </row>
    <row r="2" spans="1:8" x14ac:dyDescent="0.35">
      <c r="A2">
        <v>3.1</v>
      </c>
      <c r="B2">
        <v>3.5</v>
      </c>
      <c r="C2">
        <v>2.4</v>
      </c>
      <c r="D2">
        <v>3.5</v>
      </c>
      <c r="E2">
        <v>2</v>
      </c>
      <c r="F2">
        <v>3.5</v>
      </c>
      <c r="G2">
        <v>2.7</v>
      </c>
      <c r="H2">
        <v>3.8</v>
      </c>
    </row>
    <row r="3" spans="1:8" x14ac:dyDescent="0.35">
      <c r="A3">
        <v>3.2</v>
      </c>
      <c r="B3">
        <v>3.2</v>
      </c>
      <c r="C3">
        <v>2.5</v>
      </c>
      <c r="D3">
        <v>3</v>
      </c>
      <c r="E3">
        <v>3.2</v>
      </c>
      <c r="F3">
        <v>3.3</v>
      </c>
      <c r="G3">
        <v>3.5</v>
      </c>
      <c r="H3">
        <v>4</v>
      </c>
    </row>
    <row r="4" spans="1:8" x14ac:dyDescent="0.35">
      <c r="A4">
        <v>3.1</v>
      </c>
      <c r="B4">
        <v>3.3</v>
      </c>
      <c r="C4">
        <v>2.5</v>
      </c>
      <c r="D4">
        <v>3.5</v>
      </c>
      <c r="E4">
        <v>2</v>
      </c>
      <c r="F4">
        <v>2.7</v>
      </c>
      <c r="G4">
        <v>2.6</v>
      </c>
      <c r="H4">
        <v>4.2</v>
      </c>
    </row>
    <row r="5" spans="1:8" x14ac:dyDescent="0.35">
      <c r="A5">
        <v>3</v>
      </c>
      <c r="B5">
        <v>3.8</v>
      </c>
      <c r="C5">
        <v>2.2000000000000002</v>
      </c>
      <c r="D5">
        <v>3</v>
      </c>
      <c r="E5">
        <v>2</v>
      </c>
      <c r="F5">
        <v>3.3</v>
      </c>
      <c r="G5">
        <v>2.7</v>
      </c>
      <c r="H5">
        <v>4.5</v>
      </c>
    </row>
    <row r="6" spans="1:8" x14ac:dyDescent="0.35">
      <c r="A6">
        <v>3.1</v>
      </c>
      <c r="B6">
        <v>2.8</v>
      </c>
      <c r="C6">
        <v>2.2000000000000002</v>
      </c>
      <c r="D6">
        <v>3</v>
      </c>
      <c r="E6">
        <v>2</v>
      </c>
      <c r="F6">
        <v>3.7</v>
      </c>
      <c r="G6">
        <v>2.7</v>
      </c>
      <c r="H6">
        <v>4.5</v>
      </c>
    </row>
    <row r="7" spans="1:8" x14ac:dyDescent="0.35">
      <c r="A7">
        <v>3.2</v>
      </c>
      <c r="B7">
        <v>3.6</v>
      </c>
      <c r="C7">
        <v>2.2999999999999998</v>
      </c>
      <c r="D7">
        <v>3</v>
      </c>
      <c r="E7">
        <v>2.7</v>
      </c>
      <c r="F7">
        <v>3.3</v>
      </c>
      <c r="G7">
        <v>2.5</v>
      </c>
      <c r="H7">
        <v>4</v>
      </c>
    </row>
    <row r="8" spans="1:8" x14ac:dyDescent="0.35">
      <c r="A8">
        <v>3.2</v>
      </c>
      <c r="B8">
        <v>3.4</v>
      </c>
      <c r="C8">
        <v>2.2999999999999998</v>
      </c>
      <c r="D8">
        <v>3</v>
      </c>
      <c r="E8">
        <v>2.4</v>
      </c>
      <c r="F8">
        <v>3.1</v>
      </c>
      <c r="G8">
        <v>2.7</v>
      </c>
      <c r="H8">
        <v>4.5</v>
      </c>
    </row>
    <row r="9" spans="1:8" x14ac:dyDescent="0.35">
      <c r="A9">
        <v>3.2</v>
      </c>
      <c r="B9">
        <v>3.4</v>
      </c>
      <c r="C9">
        <v>2.2999999999999998</v>
      </c>
      <c r="E9">
        <v>2</v>
      </c>
      <c r="F9">
        <v>3.5</v>
      </c>
      <c r="H9">
        <v>4.0999999999999996</v>
      </c>
    </row>
    <row r="10" spans="1:8" x14ac:dyDescent="0.35">
      <c r="B10">
        <v>3.7</v>
      </c>
      <c r="C10">
        <v>2.2999999999999998</v>
      </c>
      <c r="E10">
        <v>2.7</v>
      </c>
      <c r="F10">
        <v>3.5</v>
      </c>
    </row>
    <row r="11" spans="1:8" x14ac:dyDescent="0.35">
      <c r="C11">
        <v>2.5</v>
      </c>
      <c r="E11">
        <v>3</v>
      </c>
      <c r="F11">
        <v>3.8</v>
      </c>
    </row>
    <row r="12" spans="1:8" x14ac:dyDescent="0.35">
      <c r="C12">
        <v>2.4</v>
      </c>
      <c r="E12">
        <v>2</v>
      </c>
      <c r="F12">
        <v>2.6</v>
      </c>
    </row>
    <row r="13" spans="1:8" x14ac:dyDescent="0.35">
      <c r="C13">
        <v>2.2000000000000002</v>
      </c>
      <c r="E13">
        <v>2</v>
      </c>
      <c r="F13">
        <v>3</v>
      </c>
    </row>
    <row r="14" spans="1:8" x14ac:dyDescent="0.35">
      <c r="C14">
        <v>2.5</v>
      </c>
      <c r="E14">
        <v>2</v>
      </c>
      <c r="F14">
        <v>3.5</v>
      </c>
    </row>
    <row r="15" spans="1:8" x14ac:dyDescent="0.35">
      <c r="C15">
        <v>2.2999999999999998</v>
      </c>
      <c r="E15">
        <v>2.7</v>
      </c>
      <c r="F15">
        <v>3.6</v>
      </c>
    </row>
    <row r="16" spans="1:8" x14ac:dyDescent="0.35">
      <c r="C16">
        <v>2.8</v>
      </c>
      <c r="E16">
        <v>2.2999999999999998</v>
      </c>
      <c r="F16">
        <v>2.8</v>
      </c>
    </row>
    <row r="17" spans="3:6" x14ac:dyDescent="0.35">
      <c r="C17">
        <v>2.2999999999999998</v>
      </c>
      <c r="E17">
        <v>2</v>
      </c>
      <c r="F17">
        <v>3.1</v>
      </c>
    </row>
    <row r="18" spans="3:6" x14ac:dyDescent="0.35">
      <c r="C18">
        <v>2</v>
      </c>
      <c r="E18">
        <v>2.7</v>
      </c>
      <c r="F18">
        <v>3.4</v>
      </c>
    </row>
    <row r="19" spans="3:6" x14ac:dyDescent="0.35">
      <c r="C19">
        <v>2.7</v>
      </c>
      <c r="E19">
        <v>2.7</v>
      </c>
      <c r="F19">
        <v>2.9</v>
      </c>
    </row>
    <row r="20" spans="3:6" x14ac:dyDescent="0.35">
      <c r="C20">
        <v>2.4</v>
      </c>
      <c r="F20">
        <v>3.4</v>
      </c>
    </row>
    <row r="21" spans="3:6" x14ac:dyDescent="0.35">
      <c r="C21">
        <v>2.9</v>
      </c>
      <c r="F21">
        <v>3.7</v>
      </c>
    </row>
    <row r="22" spans="3:6" x14ac:dyDescent="0.35">
      <c r="F22">
        <v>3.3</v>
      </c>
    </row>
    <row r="23" spans="3:6" x14ac:dyDescent="0.35">
      <c r="F23">
        <v>2.8</v>
      </c>
    </row>
    <row r="24" spans="3:6" x14ac:dyDescent="0.35">
      <c r="F24">
        <v>4.4000000000000004</v>
      </c>
    </row>
    <row r="25" spans="3:6" x14ac:dyDescent="0.35">
      <c r="F25">
        <v>3</v>
      </c>
    </row>
    <row r="26" spans="3:6" x14ac:dyDescent="0.35">
      <c r="F26">
        <v>3.3</v>
      </c>
    </row>
    <row r="27" spans="3:6" x14ac:dyDescent="0.35">
      <c r="F27">
        <v>3.3</v>
      </c>
    </row>
    <row r="28" spans="3:6" x14ac:dyDescent="0.35">
      <c r="F28">
        <v>2.6</v>
      </c>
    </row>
    <row r="29" spans="3:6" x14ac:dyDescent="0.35">
      <c r="F29">
        <v>3.3</v>
      </c>
    </row>
    <row r="30" spans="3:6" x14ac:dyDescent="0.35">
      <c r="F30">
        <v>3.5</v>
      </c>
    </row>
    <row r="31" spans="3:6" x14ac:dyDescent="0.35">
      <c r="F31">
        <v>2.9</v>
      </c>
    </row>
    <row r="32" spans="3:6" x14ac:dyDescent="0.35">
      <c r="F32">
        <v>3.3</v>
      </c>
    </row>
    <row r="33" spans="6:6" x14ac:dyDescent="0.35">
      <c r="F33">
        <v>3.4</v>
      </c>
    </row>
    <row r="34" spans="6:6" x14ac:dyDescent="0.35">
      <c r="F34">
        <v>4.3</v>
      </c>
    </row>
    <row r="35" spans="6:6" x14ac:dyDescent="0.35">
      <c r="F35">
        <v>2.6</v>
      </c>
    </row>
    <row r="36" spans="6:6" x14ac:dyDescent="0.35">
      <c r="F36">
        <v>2.7</v>
      </c>
    </row>
    <row r="37" spans="6:6" x14ac:dyDescent="0.35">
      <c r="F37">
        <v>2.7</v>
      </c>
    </row>
    <row r="38" spans="6:6" x14ac:dyDescent="0.35">
      <c r="F38">
        <v>3.6</v>
      </c>
    </row>
    <row r="39" spans="6:6" x14ac:dyDescent="0.35">
      <c r="F39">
        <v>3.3</v>
      </c>
    </row>
    <row r="40" spans="6:6" x14ac:dyDescent="0.35">
      <c r="F40">
        <v>3.3</v>
      </c>
    </row>
    <row r="41" spans="6:6" x14ac:dyDescent="0.35">
      <c r="F41">
        <v>3.3</v>
      </c>
    </row>
    <row r="42" spans="6:6" x14ac:dyDescent="0.35">
      <c r="F42">
        <v>2.7</v>
      </c>
    </row>
    <row r="43" spans="6:6" x14ac:dyDescent="0.35">
      <c r="F43">
        <v>3.3</v>
      </c>
    </row>
    <row r="44" spans="6:6" x14ac:dyDescent="0.35">
      <c r="F44">
        <v>3.4</v>
      </c>
    </row>
    <row r="45" spans="6:6" x14ac:dyDescent="0.35">
      <c r="F45">
        <v>2.7</v>
      </c>
    </row>
    <row r="46" spans="6:6" x14ac:dyDescent="0.35">
      <c r="F46">
        <v>2.7</v>
      </c>
    </row>
    <row r="47" spans="6:6" x14ac:dyDescent="0.35">
      <c r="F4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speciesGuide</vt:lpstr>
      <vt:lpstr>GenusTrophics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Wulfing</dc:creator>
  <cp:lastModifiedBy>Sophie Wulfing</cp:lastModifiedBy>
  <dcterms:created xsi:type="dcterms:W3CDTF">2015-06-05T18:17:20Z</dcterms:created>
  <dcterms:modified xsi:type="dcterms:W3CDTF">2026-05-28T19:58:47Z</dcterms:modified>
</cp:coreProperties>
</file>